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เปรียบเทียบ" sheetId="1" state="visible" r:id="rId1"/>
    <sheet xmlns:r="http://schemas.openxmlformats.org/officeDocument/2006/relationships" name="ขนาด (ตัวเลข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Tahoma"/>
      <b val="1"/>
      <color rgb="00000000"/>
      <sz val="14"/>
    </font>
    <font>
      <name val="Tahoma"/>
      <b val="1"/>
      <color rgb="00000000"/>
      <sz val="11"/>
    </font>
    <font>
      <name val="Tahoma"/>
      <color rgb="00000000"/>
      <sz val="11"/>
    </font>
    <font>
      <name val="Tahoma"/>
      <b val="1"/>
      <color rgb="00C00000"/>
      <sz val="11"/>
    </font>
    <font>
      <name val="Tahoma"/>
      <b val="1"/>
      <color rgb="00008000"/>
      <sz val="11"/>
    </font>
    <font>
      <name val="Tahoma"/>
      <b val="1"/>
      <color rgb="00C55A11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top" wrapText="1"/>
    </xf>
    <xf numFmtId="3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2" fontId="3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น้ำหนักต่อใบ (กก.) ทรายแห้ง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น้ำหนักต่อใบ</v>
          </tx>
          <spPr>
            <a:solidFill xmlns:a="http://schemas.openxmlformats.org/drawingml/2006/main">
              <a:srgbClr val="B5651D"/>
            </a:solidFill>
            <a:ln xmlns:a="http://schemas.openxmlformats.org/drawingml/2006/main">
              <a:prstDash val="solid"/>
            </a:ln>
          </spPr>
          <dLbls>
            <numFmt formatCode="0"/>
            <showLegendKey val="0"/>
            <showVal val="1"/>
            <showCatName val="0"/>
            <showSerName val="0"/>
          </dLbls>
          <errBars>
            <errBarType val="both"/>
            <errValType val="cust"/>
            <noEndCap val="0"/>
            <minus>
              <numRef>
                <f>'เปรียบเทียบ'!$B$22:$D$22</f>
              </numRef>
            </minus>
            <plus>
              <numRef>
                <f>'เปรียบเทียบ'!$B$21:$D$21</f>
              </numRef>
            </plus>
          </errBars>
          <cat>
            <numRef>
              <f>'เปรียบเทียบ'!$B$14:$D$14</f>
            </numRef>
          </cat>
          <val>
            <numRef>
              <f>'เปรียบเทียบ'!$B$20:$D$20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22</row>
      <rowOff>0</rowOff>
    </from>
    <ext cx="7429500" cy="2971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8" customWidth="1" min="3" max="3"/>
    <col width="34" customWidth="1" min="4" max="4"/>
  </cols>
  <sheetData>
    <row r="1" ht="26" customHeight="1">
      <c r="A1" s="1" t="inlineStr">
        <is>
          <t>เปรียบเทียบกระสอบทราย 3 แบบ (น้ำหนักคิดจากทรายแห้งแบบหลวม)</t>
        </is>
      </c>
    </row>
    <row r="3">
      <c r="A3" s="2" t="inlineStr">
        <is>
          <t>ทรายหลวมแห้ง ต่ำสุด (กก./ลบ.ม.)</t>
        </is>
      </c>
      <c r="B3" s="3" t="n">
        <v>1400</v>
      </c>
      <c r="C3" s="4" t="inlineStr">
        <is>
          <t>ทรายที่เทหรือตักกองไว้หลวมๆ มีช่องอากาศมาก</t>
        </is>
      </c>
    </row>
    <row r="4">
      <c r="A4" s="2" t="inlineStr">
        <is>
          <t>ทรายหลวมแห้ง สูงสุด (กก./ลบ.ม.)</t>
        </is>
      </c>
      <c r="B4" s="3" t="n">
        <v>1442</v>
      </c>
      <c r="C4" s="4" t="inlineStr">
        <is>
          <t>แก้ตัวเลขช่องสีเหลืองได้ น้ำหนักและกราฟคำนวณใหม่เอง</t>
        </is>
      </c>
    </row>
    <row r="5">
      <c r="A5" s="5" t="inlineStr"/>
      <c r="B5" s="5" t="inlineStr">
        <is>
          <t>กระสอบมีปีก (GGS)</t>
        </is>
      </c>
      <c r="C5" s="5" t="inlineStr">
        <is>
          <t>กระสอบบังเกอร์ทหาร</t>
        </is>
      </c>
      <c r="D5" s="5" t="inlineStr">
        <is>
          <t>Flex MSE</t>
        </is>
      </c>
    </row>
    <row r="6" ht="48" customHeight="1">
      <c r="A6" s="6" t="inlineStr">
        <is>
          <t>ขนาดกระสอบก่อนกรอก
ยาว x กว้าง</t>
        </is>
      </c>
      <c r="B6" s="7" t="inlineStr">
        <is>
          <t>1.50 x 0.75 ม.
ปีกข้าง 0.35 ม. ส่วนบรรจุ 0.75 x 0.45 ม.</t>
        </is>
      </c>
      <c r="C6" s="7" t="inlineStr">
        <is>
          <t>0.75 x 0.35 ม.</t>
        </is>
      </c>
      <c r="D6" s="7" t="inlineStr">
        <is>
          <t>0.89 x 0.38 ม. (35 x 15 นิ้ว)</t>
        </is>
      </c>
    </row>
    <row r="7" ht="36" customHeight="1">
      <c r="A7" s="6" t="inlineStr">
        <is>
          <t>ขนาดหลังกรอก</t>
        </is>
      </c>
      <c r="B7" s="7" t="inlineStr">
        <is>
          <t>~0.75 x 0.45 x 0.20 ม.
หนา 0.13–0.15 ม.</t>
        </is>
      </c>
      <c r="C7" s="7" t="inlineStr">
        <is>
          <t>~0.75 x 0.31 x 0.13 ม.</t>
        </is>
      </c>
      <c r="D7" s="7" t="inlineStr">
        <is>
          <t>0.76 x 0.30 x 0.14 ม. (30 x 12 x 5.5 นิ้ว)</t>
        </is>
      </c>
    </row>
    <row r="8" ht="34" customHeight="1">
      <c r="A8" s="6" t="inlineStr">
        <is>
          <t>ทรายต่อใบ</t>
        </is>
      </c>
      <c r="B8" s="7">
        <f>"~"&amp;TEXT(B16,"0.0")&amp;" ลิตร"&amp;CHAR(10)&amp;"("&amp;B15&amp;" ใบ/คิว)"</f>
        <v/>
      </c>
      <c r="C8" s="7">
        <f>IF(ROUND(C16,0)=ROUND(C17,0),"~"&amp;ROUND(C16,0),"~"&amp;ROUND(C16,0)&amp;"–"&amp;ROUND(C17,0))&amp;" ลิตร"</f>
        <v/>
      </c>
      <c r="D8" s="7">
        <f>IF(D16=D17,"≥ "&amp;ROUND(D16,0),ROUND(D16,0)&amp;"–"&amp;ROUND(D17,0))&amp;" ลิตร"</f>
        <v/>
      </c>
    </row>
    <row r="9" ht="22" customHeight="1">
      <c r="A9" s="6" t="inlineStr">
        <is>
          <t>น้ำหนักต่อใบ</t>
        </is>
      </c>
      <c r="B9" s="8">
        <f>IF(ROUND(B18,0)=ROUND(B19,0),"~"&amp;ROUND(B18,0),"~"&amp;ROUND(B18,0)&amp;"–"&amp;ROUND(B19,0))&amp;" กก."</f>
        <v/>
      </c>
      <c r="C9" s="9">
        <f>IF(ROUND(C18,0)=ROUND(C19,0),"~"&amp;ROUND(C18,0),"~"&amp;ROUND(C18,0)&amp;"–"&amp;ROUND(C19,0))&amp;" กก."</f>
        <v/>
      </c>
      <c r="D9" s="10">
        <f>IF(ROUND(D18,0)=ROUND(D19,0),"~"&amp;ROUND(D18,0),"~"&amp;ROUND(D18,0)&amp;"–"&amp;ROUND(D19,0))&amp;" กก."</f>
        <v/>
      </c>
    </row>
    <row r="10" ht="22" customHeight="1">
      <c r="A10" s="6" t="inlineStr">
        <is>
          <t>ยกต่อใบ</t>
        </is>
      </c>
      <c r="B10" s="7">
        <f>B23&amp;" คน"</f>
        <v/>
      </c>
      <c r="C10" s="7">
        <f>C23&amp;" คน"</f>
        <v/>
      </c>
      <c r="D10" s="7">
        <f>D23&amp;" คน"</f>
        <v/>
      </c>
    </row>
    <row r="11">
      <c r="A11" s="4" t="inlineStr">
        <is>
          <t>หมายเหตุ: น้ำหนักคิดจากทรายหลวมแห้ง 1,400–1,442 กก./ลบ.ม. (ช่อง B3 และ B4)</t>
        </is>
      </c>
    </row>
    <row r="13">
      <c r="A13" s="1" t="inlineStr">
        <is>
          <t>ข้อมูลคำนวณ</t>
        </is>
      </c>
    </row>
    <row r="14">
      <c r="A14" s="5" t="inlineStr"/>
      <c r="B14" s="5" t="inlineStr">
        <is>
          <t>กระสอบมีปีก (GGS)</t>
        </is>
      </c>
      <c r="C14" s="5" t="inlineStr">
        <is>
          <t>กระสอบบังเกอร์ทหาร</t>
        </is>
      </c>
      <c r="D14" s="5" t="inlineStr">
        <is>
          <t>Flex MSE</t>
        </is>
      </c>
    </row>
    <row r="15">
      <c r="A15" s="6" t="inlineStr">
        <is>
          <t>จำนวนกระสอบต่อทราย 1 คิว (ใบ)</t>
        </is>
      </c>
      <c r="B15" s="11" t="n">
        <v>18</v>
      </c>
      <c r="C15" s="12" t="inlineStr">
        <is>
          <t>-</t>
        </is>
      </c>
      <c r="D15" s="12" t="inlineStr">
        <is>
          <t>-</t>
        </is>
      </c>
    </row>
    <row r="16">
      <c r="A16" s="6" t="inlineStr">
        <is>
          <t>ทรายต่อใบ ต่ำสุด (ลิตร)</t>
        </is>
      </c>
      <c r="B16" s="13">
        <f>1000/B15</f>
        <v/>
      </c>
      <c r="C16" s="14" t="n">
        <v>11</v>
      </c>
      <c r="D16" s="14" t="n">
        <v>32</v>
      </c>
    </row>
    <row r="17">
      <c r="A17" s="6" t="inlineStr">
        <is>
          <t>ทรายต่อใบ สูงสุด (ลิตร)</t>
        </is>
      </c>
      <c r="B17" s="13">
        <f>B16</f>
        <v/>
      </c>
      <c r="C17" s="14" t="n">
        <v>16.5</v>
      </c>
      <c r="D17" s="13">
        <f>D16</f>
        <v/>
      </c>
    </row>
    <row r="18">
      <c r="A18" s="6" t="inlineStr">
        <is>
          <t>น้ำหนักต่อใบ ต่ำสุด (กก.)</t>
        </is>
      </c>
      <c r="B18" s="13">
        <f>B16*$B$3/1000</f>
        <v/>
      </c>
      <c r="C18" s="13">
        <f>C16*$B$3/1000</f>
        <v/>
      </c>
      <c r="D18" s="13">
        <f>D16*$B$3/1000</f>
        <v/>
      </c>
    </row>
    <row r="19">
      <c r="A19" s="6" t="inlineStr">
        <is>
          <t>น้ำหนักต่อใบ สูงสุด (กก.)</t>
        </is>
      </c>
      <c r="B19" s="13">
        <f>B17*$B$4/1000</f>
        <v/>
      </c>
      <c r="C19" s="13">
        <f>C17*$B$4/1000</f>
        <v/>
      </c>
      <c r="D19" s="13">
        <f>D17*$B$4/1000</f>
        <v/>
      </c>
    </row>
    <row r="20">
      <c r="A20" s="6" t="inlineStr">
        <is>
          <t>น้ำหนักต่อใบ ค่ากลาง (กก.)</t>
        </is>
      </c>
      <c r="B20" s="13">
        <f>AVERAGE(B18:B19)</f>
        <v/>
      </c>
      <c r="C20" s="13">
        <f>AVERAGE(C18:C19)</f>
        <v/>
      </c>
      <c r="D20" s="13">
        <f>AVERAGE(D18:D19)</f>
        <v/>
      </c>
    </row>
    <row r="21">
      <c r="A21" s="6" t="inlineStr">
        <is>
          <t>ช่วงบวก (สูงสุด - กลาง)</t>
        </is>
      </c>
      <c r="B21" s="13">
        <f>B19-B20</f>
        <v/>
      </c>
      <c r="C21" s="13">
        <f>C19-C20</f>
        <v/>
      </c>
      <c r="D21" s="13">
        <f>D19-D20</f>
        <v/>
      </c>
    </row>
    <row r="22">
      <c r="A22" s="6" t="inlineStr">
        <is>
          <t>ช่วงลบ (กลาง - ต่ำสุด)</t>
        </is>
      </c>
      <c r="B22" s="13">
        <f>B20-B18</f>
        <v/>
      </c>
      <c r="C22" s="13">
        <f>C20-C18</f>
        <v/>
      </c>
      <c r="D22" s="13">
        <f>D20-D18</f>
        <v/>
      </c>
    </row>
    <row r="23">
      <c r="A23" s="6" t="inlineStr">
        <is>
          <t>ยกต่อใบ (คน)</t>
        </is>
      </c>
      <c r="B23" s="11" t="n">
        <v>2</v>
      </c>
      <c r="C23" s="11" t="n">
        <v>1</v>
      </c>
      <c r="D23" s="11" t="n">
        <v>2</v>
      </c>
    </row>
    <row r="25">
      <c r="A25" s="1" t="inlineStr">
        <is>
          <t>เทียบกับกระสอบมีปีก</t>
        </is>
      </c>
    </row>
    <row r="26">
      <c r="A26" s="5" t="inlineStr"/>
      <c r="B26" s="5" t="inlineStr">
        <is>
          <t>กระสอบมีปีก (GGS)</t>
        </is>
      </c>
      <c r="C26" s="5" t="inlineStr">
        <is>
          <t>กระสอบบังเกอร์ทหาร</t>
        </is>
      </c>
      <c r="D26" s="5" t="inlineStr">
        <is>
          <t>Flex MSE</t>
        </is>
      </c>
    </row>
    <row r="27">
      <c r="A27" s="6" t="inlineStr">
        <is>
          <t>น้ำหนักต่อใบ (เท่าของกระสอบมีปีก)</t>
        </is>
      </c>
      <c r="B27" s="15">
        <f>B20/$B$20</f>
        <v/>
      </c>
      <c r="C27" s="15">
        <f>C20/$B$20</f>
        <v/>
      </c>
      <c r="D27" s="15">
        <f>D20/$B$20</f>
        <v/>
      </c>
    </row>
    <row r="28">
      <c r="A28" s="6" t="inlineStr">
        <is>
          <t>ทรายต่อใบ (% ของกระสอบมีปีก)</t>
        </is>
      </c>
      <c r="B28" s="16">
        <f>AVERAGE(B16:B17)/AVERAGE($B$16:$B$17)</f>
        <v/>
      </c>
      <c r="C28" s="16">
        <f>AVERAGE(C16:C17)/AVERAGE($B$16:$B$17)</f>
        <v/>
      </c>
      <c r="D28" s="16">
        <f>AVERAGE(D16:D17)/AVERAGE($B$16:$B$17)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  <col width="24" customWidth="1" min="8" max="8"/>
  </cols>
  <sheetData>
    <row r="1">
      <c r="A1" s="17" t="inlineStr">
        <is>
          <t>ขนาดของกระสอบแต่ละแบบ (เมตร)</t>
        </is>
      </c>
    </row>
    <row r="3" ht="36" customHeight="1">
      <c r="A3" s="5" t="inlineStr">
        <is>
          <t>กระสอบ</t>
        </is>
      </c>
      <c r="B3" s="5" t="inlineStr">
        <is>
          <t>ก่อนกรอก ยาว</t>
        </is>
      </c>
      <c r="C3" s="5" t="inlineStr">
        <is>
          <t>ก่อนกรอก กว้าง</t>
        </is>
      </c>
      <c r="D3" s="5" t="inlineStr">
        <is>
          <t>หลังกรอก ยาว</t>
        </is>
      </c>
      <c r="E3" s="5" t="inlineStr">
        <is>
          <t>หลังกรอก กว้าง</t>
        </is>
      </c>
      <c r="F3" s="5" t="inlineStr">
        <is>
          <t>หลังกรอก หนา</t>
        </is>
      </c>
      <c r="G3" s="5" t="inlineStr">
        <is>
          <t>พื้นที่หลังกรอก (ตร.ม.)</t>
        </is>
      </c>
      <c r="H3" s="5" t="inlineStr">
        <is>
          <t>ปริมาตรกล่องครอบ (ลิตร)</t>
        </is>
      </c>
    </row>
    <row r="4">
      <c r="A4" s="6" t="inlineStr">
        <is>
          <t>กระสอบมีปีก (GGS)</t>
        </is>
      </c>
      <c r="B4" s="18" t="n">
        <v>1.5</v>
      </c>
      <c r="C4" s="18" t="n">
        <v>0.75</v>
      </c>
      <c r="D4" s="18" t="n">
        <v>0.75</v>
      </c>
      <c r="E4" s="18" t="n">
        <v>0.45</v>
      </c>
      <c r="F4" s="18" t="n">
        <v>0.2</v>
      </c>
      <c r="G4" s="19">
        <f>D4*E4</f>
        <v/>
      </c>
      <c r="H4" s="13">
        <f>D4*E4*F4*1000</f>
        <v/>
      </c>
    </row>
    <row r="5">
      <c r="A5" s="6" t="inlineStr">
        <is>
          <t>กระสอบบังเกอร์ทหาร</t>
        </is>
      </c>
      <c r="B5" s="18" t="n">
        <v>0.75</v>
      </c>
      <c r="C5" s="18" t="n">
        <v>0.35</v>
      </c>
      <c r="D5" s="18" t="n">
        <v>0.75</v>
      </c>
      <c r="E5" s="18" t="n">
        <v>0.31</v>
      </c>
      <c r="F5" s="18" t="n">
        <v>0.13</v>
      </c>
      <c r="G5" s="19">
        <f>D5*E5</f>
        <v/>
      </c>
      <c r="H5" s="13">
        <f>D5*E5*F5*1000</f>
        <v/>
      </c>
    </row>
    <row r="6">
      <c r="A6" s="6" t="inlineStr">
        <is>
          <t>Flex MSE</t>
        </is>
      </c>
      <c r="B6" s="18" t="n">
        <v>0.89</v>
      </c>
      <c r="C6" s="18" t="n">
        <v>0.38</v>
      </c>
      <c r="D6" s="18" t="n">
        <v>0.76</v>
      </c>
      <c r="E6" s="18" t="n">
        <v>0.3</v>
      </c>
      <c r="F6" s="18" t="n">
        <v>0.14</v>
      </c>
      <c r="G6" s="19">
        <f>D6*E6</f>
        <v/>
      </c>
      <c r="H6" s="13">
        <f>D6*E6*F6*1000</f>
        <v/>
      </c>
    </row>
    <row r="8">
      <c r="A8" s="20" t="inlineStr">
        <is>
          <t>ปริมาตรกล่องครอบ = ยาว x กว้าง x หนา ของถุงหลังกรอก ส่วนทรายต่อใบในแผ่นแรกเป็นค่าประมาณ ไม่ใช่การวัดจริง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2026-10-25T05:58:09Z</dcterms:created>
  <dcterms:modified xmlns:dcterms="http://purl.org/dc/terms/" xmlns:xsi="http://www.w3.org/2001/XMLSchema-instance" xsi:type="dcterms:W3CDTF">2026-10-25T05:58:10Z</dcterms:modified>
</cp:coreProperties>
</file>