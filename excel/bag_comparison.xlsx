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เปรียบเทียบ" sheetId="1" state="visible" r:id="rId1"/>
    <sheet xmlns:r="http://schemas.openxmlformats.org/officeDocument/2006/relationships" name="ขนาด (ตัวเลข)" sheetId="2" state="visible" r:id="rId2"/>
    <sheet xmlns:r="http://schemas.openxmlformats.org/officeDocument/2006/relationships" name="ข้อมูลประกอบข้อเสน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7">
    <font>
      <name val="Calibri"/>
      <family val="2"/>
      <color theme="1"/>
      <sz val="11"/>
      <scheme val="minor"/>
    </font>
    <font>
      <name val="Tahoma"/>
      <b val="1"/>
      <color rgb="00000000"/>
      <sz val="14"/>
    </font>
    <font>
      <name val="Tahoma"/>
      <b val="1"/>
      <color rgb="00000000"/>
      <sz val="11"/>
    </font>
    <font>
      <name val="Tahoma"/>
      <color rgb="00000000"/>
      <sz val="11"/>
    </font>
    <font>
      <name val="Tahoma"/>
      <b val="1"/>
      <color rgb="00C00000"/>
      <sz val="11"/>
    </font>
    <font>
      <name val="Tahoma"/>
      <b val="1"/>
      <color rgb="00008000"/>
      <sz val="11"/>
    </font>
    <font>
      <name val="Tahoma"/>
      <b val="1"/>
      <color rgb="00C55A1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top" wrapText="1"/>
    </xf>
    <xf numFmtId="3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2" fontId="3" fillId="2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น้ำหนักต่อใบ (กก.) ทรายแห้ง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v>น้ำหนักต่อใบ</v>
          </tx>
          <spPr>
            <a:solidFill xmlns:a="http://schemas.openxmlformats.org/drawingml/2006/main">
              <a:srgbClr val="B5651D"/>
            </a:solidFill>
            <a:ln xmlns:a="http://schemas.openxmlformats.org/drawingml/2006/main">
              <a:prstDash val="solid"/>
            </a:ln>
          </spPr>
          <dLbls>
            <numFmt formatCode="0"/>
            <showLegendKey val="0"/>
            <showVal val="1"/>
            <showCatName val="0"/>
            <showSerName val="0"/>
          </dLbls>
          <errBars>
            <errBarType val="both"/>
            <errValType val="cust"/>
            <noEndCap val="0"/>
            <minus>
              <numRef>
                <f>'เปรียบเทียบ'!$B$22:$D$22</f>
              </numRef>
            </minus>
            <plus>
              <numRef>
                <f>'เปรียบเทียบ'!$B$21:$D$21</f>
              </numRef>
            </plus>
          </errBars>
          <cat>
            <numRef>
              <f>'เปรียบเทียบ'!$B$14:$D$14</f>
            </numRef>
          </cat>
          <val>
            <numRef>
              <f>'เปรียบเทียบ'!$B$20:$D$20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7429500" cy="29718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8" customWidth="1" min="3" max="3"/>
    <col width="34" customWidth="1" min="4" max="4"/>
  </cols>
  <sheetData>
    <row r="1" ht="26" customHeight="1">
      <c r="A1" s="1" t="inlineStr">
        <is>
          <t>เปรียบเทียบกระสอบทราย 3 แบบ (น้ำหนักคิดจากทรายแห้งแบบหลวม)</t>
        </is>
      </c>
    </row>
    <row r="3">
      <c r="A3" s="2" t="inlineStr">
        <is>
          <t>ทรายหลวมแห้ง ต่ำสุด (กก./ลบ.ม.)</t>
        </is>
      </c>
      <c r="B3" s="3" t="n">
        <v>1400</v>
      </c>
      <c r="C3" s="4" t="inlineStr">
        <is>
          <t>ทรายที่เทหรือตักกองไว้หลวมๆ มีช่องอากาศมาก</t>
        </is>
      </c>
    </row>
    <row r="4">
      <c r="A4" s="2" t="inlineStr">
        <is>
          <t>ทรายหลวมแห้ง สูงสุด (กก./ลบ.ม.)</t>
        </is>
      </c>
      <c r="B4" s="3" t="n">
        <v>1442</v>
      </c>
      <c r="C4" s="4" t="inlineStr">
        <is>
          <t>แก้ตัวเลขช่องสีเหลืองได้ น้ำหนักและกราฟคำนวณใหม่เอง</t>
        </is>
      </c>
    </row>
    <row r="5">
      <c r="A5" s="5" t="inlineStr"/>
      <c r="B5" s="5" t="inlineStr">
        <is>
          <t>กระสอบมีปีก (GGS)</t>
        </is>
      </c>
      <c r="C5" s="5" t="inlineStr">
        <is>
          <t>กระสอบบังเกอร์ทหาร</t>
        </is>
      </c>
      <c r="D5" s="5" t="inlineStr">
        <is>
          <t>Flex MSE</t>
        </is>
      </c>
    </row>
    <row r="6" ht="48" customHeight="1">
      <c r="A6" s="6" t="inlineStr">
        <is>
          <t>ขนาดกระสอบก่อนกรอก
ยาว x กว้าง</t>
        </is>
      </c>
      <c r="B6" s="7" t="inlineStr">
        <is>
          <t>1.50 x 0.75 ม.
ปีกข้าง 0.35 ม. ส่วนบรรจุ 0.75 x 0.45 ม.</t>
        </is>
      </c>
      <c r="C6" s="7" t="inlineStr">
        <is>
          <t>0.75 x 0.35 ม.</t>
        </is>
      </c>
      <c r="D6" s="7" t="inlineStr">
        <is>
          <t>0.89 x 0.38 ม. (35 x 15 นิ้ว)</t>
        </is>
      </c>
    </row>
    <row r="7" ht="36" customHeight="1">
      <c r="A7" s="6" t="inlineStr">
        <is>
          <t>ขนาดหลังกรอก</t>
        </is>
      </c>
      <c r="B7" s="7" t="inlineStr">
        <is>
          <t>~0.75 x 0.45 x 0.20 ม.
หนา 0.13–0.15 ม.</t>
        </is>
      </c>
      <c r="C7" s="7" t="inlineStr">
        <is>
          <t>~0.75 x 0.31 x 0.13 ม.</t>
        </is>
      </c>
      <c r="D7" s="7" t="inlineStr">
        <is>
          <t>0.76 x 0.30 x 0.14 ม. (30 x 12 x 5.5 นิ้ว)</t>
        </is>
      </c>
    </row>
    <row r="8" ht="34" customHeight="1">
      <c r="A8" s="6" t="inlineStr">
        <is>
          <t>ทรายต่อใบ</t>
        </is>
      </c>
      <c r="B8" s="7">
        <f>"~"&amp;TEXT(B16,"0.0")&amp;" ลิตร"&amp;CHAR(10)&amp;"("&amp;B15&amp;" ใบ/คิว)"</f>
        <v/>
      </c>
      <c r="C8" s="7">
        <f>IF(ROUND(C16,0)=ROUND(C17,0),"~"&amp;ROUND(C16,0),"~"&amp;ROUND(C16,0)&amp;"–"&amp;ROUND(C17,0))&amp;" ลิตร"</f>
        <v/>
      </c>
      <c r="D8" s="7">
        <f>IF(D16=D17,"≥ "&amp;ROUND(D16,0),ROUND(D16,0)&amp;"–"&amp;ROUND(D17,0))&amp;" ลิตร"</f>
        <v/>
      </c>
    </row>
    <row r="9" ht="22" customHeight="1">
      <c r="A9" s="6" t="inlineStr">
        <is>
          <t>น้ำหนักต่อใบ</t>
        </is>
      </c>
      <c r="B9" s="8">
        <f>IF(ROUND(B18,0)=ROUND(B19,0),"~"&amp;ROUND(B18,0),"~"&amp;ROUND(B18,0)&amp;"–"&amp;ROUND(B19,0))&amp;" กก."</f>
        <v/>
      </c>
      <c r="C9" s="9">
        <f>IF(ROUND(C18,0)=ROUND(C19,0),"~"&amp;ROUND(C18,0),"~"&amp;ROUND(C18,0)&amp;"–"&amp;ROUND(C19,0))&amp;" กก."</f>
        <v/>
      </c>
      <c r="D9" s="10">
        <f>IF(ROUND(D18,0)=ROUND(D19,0),"~"&amp;ROUND(D18,0),"~"&amp;ROUND(D18,0)&amp;"–"&amp;ROUND(D19,0))&amp;" กก."</f>
        <v/>
      </c>
    </row>
    <row r="10" ht="22" customHeight="1">
      <c r="A10" s="6" t="inlineStr">
        <is>
          <t>ยกต่อใบ</t>
        </is>
      </c>
      <c r="B10" s="7">
        <f>B23&amp;" คน"</f>
        <v/>
      </c>
      <c r="C10" s="7">
        <f>C23&amp;" คน"</f>
        <v/>
      </c>
      <c r="D10" s="7">
        <f>D23&amp;" คน"</f>
        <v/>
      </c>
    </row>
    <row r="11">
      <c r="A11" s="4" t="inlineStr">
        <is>
          <t>หมายเหตุ: น้ำหนักคิดจากทรายหลวมแห้ง 1,400–1,442 กก./ลบ.ม. (ช่อง B3 และ B4)</t>
        </is>
      </c>
    </row>
    <row r="13">
      <c r="A13" s="1" t="inlineStr">
        <is>
          <t>ข้อมูลคำนวณ</t>
        </is>
      </c>
    </row>
    <row r="14">
      <c r="A14" s="5" t="inlineStr"/>
      <c r="B14" s="5" t="inlineStr">
        <is>
          <t>กระสอบมีปีก (GGS)</t>
        </is>
      </c>
      <c r="C14" s="5" t="inlineStr">
        <is>
          <t>กระสอบบังเกอร์ทหาร</t>
        </is>
      </c>
      <c r="D14" s="5" t="inlineStr">
        <is>
          <t>Flex MSE</t>
        </is>
      </c>
    </row>
    <row r="15">
      <c r="A15" s="6" t="inlineStr">
        <is>
          <t>จำนวนกระสอบต่อทราย 1 คิว (ใบ)</t>
        </is>
      </c>
      <c r="B15" s="11" t="n">
        <v>18</v>
      </c>
      <c r="C15" s="12" t="inlineStr">
        <is>
          <t>-</t>
        </is>
      </c>
      <c r="D15" s="12" t="inlineStr">
        <is>
          <t>-</t>
        </is>
      </c>
    </row>
    <row r="16">
      <c r="A16" s="6" t="inlineStr">
        <is>
          <t>ทรายต่อใบ ต่ำสุด (ลิตร)</t>
        </is>
      </c>
      <c r="B16" s="13">
        <f>1000/B15</f>
        <v/>
      </c>
      <c r="C16" s="14" t="n">
        <v>11</v>
      </c>
      <c r="D16" s="14" t="n">
        <v>32</v>
      </c>
    </row>
    <row r="17">
      <c r="A17" s="6" t="inlineStr">
        <is>
          <t>ทรายต่อใบ สูงสุด (ลิตร)</t>
        </is>
      </c>
      <c r="B17" s="13">
        <f>B16</f>
        <v/>
      </c>
      <c r="C17" s="14" t="n">
        <v>16.5</v>
      </c>
      <c r="D17" s="13">
        <f>D16</f>
        <v/>
      </c>
    </row>
    <row r="18">
      <c r="A18" s="6" t="inlineStr">
        <is>
          <t>น้ำหนักต่อใบ ต่ำสุด (กก.)</t>
        </is>
      </c>
      <c r="B18" s="13">
        <f>B16*$B$3/1000</f>
        <v/>
      </c>
      <c r="C18" s="13">
        <f>C16*$B$3/1000</f>
        <v/>
      </c>
      <c r="D18" s="13">
        <f>D16*$B$3/1000</f>
        <v/>
      </c>
    </row>
    <row r="19">
      <c r="A19" s="6" t="inlineStr">
        <is>
          <t>น้ำหนักต่อใบ สูงสุด (กก.)</t>
        </is>
      </c>
      <c r="B19" s="13">
        <f>B17*$B$4/1000</f>
        <v/>
      </c>
      <c r="C19" s="13">
        <f>C17*$B$4/1000</f>
        <v/>
      </c>
      <c r="D19" s="13">
        <f>D17*$B$4/1000</f>
        <v/>
      </c>
    </row>
    <row r="20">
      <c r="A20" s="6" t="inlineStr">
        <is>
          <t>น้ำหนักต่อใบ ค่ากลาง (กก.)</t>
        </is>
      </c>
      <c r="B20" s="13">
        <f>AVERAGE(B18:B19)</f>
        <v/>
      </c>
      <c r="C20" s="13">
        <f>AVERAGE(C18:C19)</f>
        <v/>
      </c>
      <c r="D20" s="13">
        <f>AVERAGE(D18:D19)</f>
        <v/>
      </c>
    </row>
    <row r="21">
      <c r="A21" s="6" t="inlineStr">
        <is>
          <t>ช่วงบวก (สูงสุด - กลาง)</t>
        </is>
      </c>
      <c r="B21" s="13">
        <f>B19-B20</f>
        <v/>
      </c>
      <c r="C21" s="13">
        <f>C19-C20</f>
        <v/>
      </c>
      <c r="D21" s="13">
        <f>D19-D20</f>
        <v/>
      </c>
    </row>
    <row r="22">
      <c r="A22" s="6" t="inlineStr">
        <is>
          <t>ช่วงลบ (กลาง - ต่ำสุด)</t>
        </is>
      </c>
      <c r="B22" s="13">
        <f>B20-B18</f>
        <v/>
      </c>
      <c r="C22" s="13">
        <f>C20-C18</f>
        <v/>
      </c>
      <c r="D22" s="13">
        <f>D20-D18</f>
        <v/>
      </c>
    </row>
    <row r="23">
      <c r="A23" s="6" t="inlineStr">
        <is>
          <t>ยกต่อใบ (คน)</t>
        </is>
      </c>
      <c r="B23" s="11" t="n">
        <v>2</v>
      </c>
      <c r="C23" s="11" t="n">
        <v>1</v>
      </c>
      <c r="D23" s="11" t="n">
        <v>2</v>
      </c>
    </row>
    <row r="25">
      <c r="A25" s="1" t="inlineStr">
        <is>
          <t>เทียบกับกระสอบมีปีก</t>
        </is>
      </c>
    </row>
    <row r="26">
      <c r="A26" s="5" t="inlineStr"/>
      <c r="B26" s="5" t="inlineStr">
        <is>
          <t>กระสอบมีปีก (GGS)</t>
        </is>
      </c>
      <c r="C26" s="5" t="inlineStr">
        <is>
          <t>กระสอบบังเกอร์ทหาร</t>
        </is>
      </c>
      <c r="D26" s="5" t="inlineStr">
        <is>
          <t>Flex MSE</t>
        </is>
      </c>
    </row>
    <row r="27">
      <c r="A27" s="6" t="inlineStr">
        <is>
          <t>น้ำหนักต่อใบ (เท่าของกระสอบมีปีก)</t>
        </is>
      </c>
      <c r="B27" s="15">
        <f>B20/$B$20</f>
        <v/>
      </c>
      <c r="C27" s="15">
        <f>C20/$B$20</f>
        <v/>
      </c>
      <c r="D27" s="15">
        <f>D20/$B$20</f>
        <v/>
      </c>
    </row>
    <row r="28">
      <c r="A28" s="6" t="inlineStr">
        <is>
          <t>ทรายต่อใบ (% ของกระสอบมีปีก)</t>
        </is>
      </c>
      <c r="B28" s="16">
        <f>AVERAGE(B16:B17)/AVERAGE($B$16:$B$17)</f>
        <v/>
      </c>
      <c r="C28" s="16">
        <f>AVERAGE(C16:C17)/AVERAGE($B$16:$B$17)</f>
        <v/>
      </c>
      <c r="D28" s="16">
        <f>AVERAGE(D16:D17)/AVERAGE($B$16:$B$17)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4" customWidth="1" min="8" max="8"/>
  </cols>
  <sheetData>
    <row r="1">
      <c r="A1" s="17" t="inlineStr">
        <is>
          <t>ขนาดของกระสอบแต่ละแบบ (เมตร)</t>
        </is>
      </c>
    </row>
    <row r="3" ht="36" customHeight="1">
      <c r="A3" s="5" t="inlineStr">
        <is>
          <t>กระสอบ</t>
        </is>
      </c>
      <c r="B3" s="5" t="inlineStr">
        <is>
          <t>ก่อนกรอก ยาว</t>
        </is>
      </c>
      <c r="C3" s="5" t="inlineStr">
        <is>
          <t>ก่อนกรอก กว้าง</t>
        </is>
      </c>
      <c r="D3" s="5" t="inlineStr">
        <is>
          <t>หลังกรอก ยาว</t>
        </is>
      </c>
      <c r="E3" s="5" t="inlineStr">
        <is>
          <t>หลังกรอก กว้าง</t>
        </is>
      </c>
      <c r="F3" s="5" t="inlineStr">
        <is>
          <t>หลังกรอก หนา</t>
        </is>
      </c>
      <c r="G3" s="5" t="inlineStr">
        <is>
          <t>พื้นที่หลังกรอก (ตร.ม.)</t>
        </is>
      </c>
      <c r="H3" s="5" t="inlineStr">
        <is>
          <t>ปริมาตรกล่องครอบ (ลิตร)</t>
        </is>
      </c>
    </row>
    <row r="4">
      <c r="A4" s="6" t="inlineStr">
        <is>
          <t>กระสอบมีปีก (GGS)</t>
        </is>
      </c>
      <c r="B4" s="18" t="n">
        <v>1.5</v>
      </c>
      <c r="C4" s="18" t="n">
        <v>0.75</v>
      </c>
      <c r="D4" s="18" t="n">
        <v>0.75</v>
      </c>
      <c r="E4" s="18" t="n">
        <v>0.45</v>
      </c>
      <c r="F4" s="18" t="n">
        <v>0.2</v>
      </c>
      <c r="G4" s="19">
        <f>D4*E4</f>
        <v/>
      </c>
      <c r="H4" s="13">
        <f>D4*E4*F4*1000</f>
        <v/>
      </c>
    </row>
    <row r="5">
      <c r="A5" s="6" t="inlineStr">
        <is>
          <t>กระสอบบังเกอร์ทหาร</t>
        </is>
      </c>
      <c r="B5" s="18" t="n">
        <v>0.75</v>
      </c>
      <c r="C5" s="18" t="n">
        <v>0.35</v>
      </c>
      <c r="D5" s="18" t="n">
        <v>0.75</v>
      </c>
      <c r="E5" s="18" t="n">
        <v>0.31</v>
      </c>
      <c r="F5" s="18" t="n">
        <v>0.13</v>
      </c>
      <c r="G5" s="19">
        <f>D5*E5</f>
        <v/>
      </c>
      <c r="H5" s="13">
        <f>D5*E5*F5*1000</f>
        <v/>
      </c>
    </row>
    <row r="6">
      <c r="A6" s="6" t="inlineStr">
        <is>
          <t>Flex MSE</t>
        </is>
      </c>
      <c r="B6" s="18" t="n">
        <v>0.89</v>
      </c>
      <c r="C6" s="18" t="n">
        <v>0.38</v>
      </c>
      <c r="D6" s="18" t="n">
        <v>0.76</v>
      </c>
      <c r="E6" s="18" t="n">
        <v>0.3</v>
      </c>
      <c r="F6" s="18" t="n">
        <v>0.14</v>
      </c>
      <c r="G6" s="19">
        <f>D6*E6</f>
        <v/>
      </c>
      <c r="H6" s="13">
        <f>D6*E6*F6*1000</f>
        <v/>
      </c>
    </row>
    <row r="8">
      <c r="A8" s="20" t="inlineStr">
        <is>
          <t>ปริมาตรกล่องครอบ = ยาว x กว้าง x หนา ของถุงหลังกรอก ส่วนทรายต่อใบในแผ่นแรกเป็นค่าประมาณ ไม่ใช่การวัดจริง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  <col width="30" customWidth="1" min="4" max="4"/>
    <col width="62" customWidth="1" min="5" max="5"/>
  </cols>
  <sheetData>
    <row r="1">
      <c r="A1" s="1" t="inlineStr">
        <is>
          <t>ข้อมูลประกอบข้อเสนอพัฒนากระสอบรูปแบบใหม่</t>
        </is>
      </c>
    </row>
    <row r="2">
      <c r="A2" s="4" t="inlineStr">
        <is>
          <t>กระสอบมีปีกขนาดใหญ่ กรอกยากและหนักตอนขนย้าย เมื่อเทียบกับกระสอบบังเกอร์และ Flex MSE (น้ำหนักคิดจากทรายหลวมแห้ง ค่าจากแผ่น "เปรียบเทียบ")</t>
        </is>
      </c>
    </row>
    <row r="4">
      <c r="A4" s="1" t="inlineStr">
        <is>
          <t>1. น้ำหนักที่ต้องยก</t>
        </is>
      </c>
    </row>
    <row r="5">
      <c r="A5" s="5" t="inlineStr"/>
      <c r="B5" s="5" t="inlineStr">
        <is>
          <t>กระสอบมีปีก (GGS)</t>
        </is>
      </c>
      <c r="C5" s="5" t="inlineStr">
        <is>
          <t>กระสอบบังเกอร์ทหาร</t>
        </is>
      </c>
      <c r="D5" s="5" t="inlineStr">
        <is>
          <t>Flex MSE</t>
        </is>
      </c>
      <c r="E5" s="5" t="inlineStr">
        <is>
          <t>ที่มา / สถานะ</t>
        </is>
      </c>
    </row>
    <row r="6">
      <c r="A6" s="6" t="inlineStr">
        <is>
          <t>น้ำหนักต่อใบ ค่ากลาง (กก.)</t>
        </is>
      </c>
      <c r="B6" s="13">
        <f>'เปรียบเทียบ'!B20</f>
        <v/>
      </c>
      <c r="C6" s="13">
        <f>'เปรียบเทียบ'!C20</f>
        <v/>
      </c>
      <c r="D6" s="13">
        <f>'เปรียบเทียบ'!D20</f>
        <v/>
      </c>
      <c r="E6" s="7" t="inlineStr">
        <is>
          <t>คำนวณจากแผ่น "เปรียบเทียบ" (ยังไม่ได้ชั่งจริง)</t>
        </is>
      </c>
    </row>
    <row r="7" ht="34" customHeight="1">
      <c r="A7" s="6" t="inlineStr">
        <is>
          <t>น้ำหนักต่อคนที่ยก (กก.)</t>
        </is>
      </c>
      <c r="B7" s="13">
        <f>B6/B15</f>
        <v/>
      </c>
      <c r="C7" s="13">
        <f>C6/C15</f>
        <v/>
      </c>
      <c r="D7" s="13">
        <f>D6/D15</f>
        <v/>
      </c>
      <c r="E7" s="7" t="inlineStr">
        <is>
          <t>หารด้วยจำนวนคนยกต่อใบ (แถวที่ 15)</t>
        </is>
      </c>
    </row>
    <row r="8" ht="34" customHeight="1">
      <c r="A8" s="6" t="inlineStr">
        <is>
          <t>เทียบ load constant NIOSH 23 กก. (เท่า)</t>
        </is>
      </c>
      <c r="B8" s="13">
        <f>B6/23</f>
        <v/>
      </c>
      <c r="C8" s="13">
        <f>C6/23</f>
        <v/>
      </c>
      <c r="D8" s="13">
        <f>D6/23</f>
        <v/>
      </c>
      <c r="E8" s="7" t="inlineStr">
        <is>
          <t>NIOSH ใช้ 23 กก. เป็นค่าสูงสุดในสภาพยกเหมาะสมที่สุด (CCOHS)</t>
        </is>
      </c>
    </row>
    <row r="9" ht="34" customHeight="1">
      <c r="A9" s="6" t="inlineStr">
        <is>
          <t>เทียบเกณฑ์ ILO 55 กก. ต่อคน (เท่า)</t>
        </is>
      </c>
      <c r="B9" s="13">
        <f>B6/55</f>
        <v/>
      </c>
      <c r="C9" s="13">
        <f>C6/55</f>
        <v/>
      </c>
      <c r="D9" s="13">
        <f>D6/55</f>
        <v/>
      </c>
      <c r="E9" s="7" t="inlineStr">
        <is>
          <t>ILO R128 ผู้ชายผู้ใหญ่ยกคนเดียวไม่ควรเกิน 55 กก. (ยังไม่ได้ตรวจกฎหมายไทย)</t>
        </is>
      </c>
    </row>
    <row r="10" ht="22" customHeight="1">
      <c r="A10" s="6" t="inlineStr">
        <is>
          <t>ผลเทียบเกณฑ์ NIOSH 23 กก. (คนเดียว)</t>
        </is>
      </c>
      <c r="B10" s="21">
        <f>IF(B6&lt;=23,"ไม่เกิน","เกิน")&amp;" ("&amp;TEXT(B6/23,"0.0")&amp;" เท่า)"</f>
        <v/>
      </c>
      <c r="C10" s="21">
        <f>IF(C6&lt;=23,"ไม่เกิน","เกิน")&amp;" ("&amp;TEXT(C6/23,"0.0")&amp;" เท่า)"</f>
        <v/>
      </c>
      <c r="D10" s="21">
        <f>IF(D6&lt;=23,"ไม่เกิน","เกิน")&amp;" ("&amp;TEXT(D6/23,"0.0")&amp;" เท่า)"</f>
        <v/>
      </c>
      <c r="E10" s="7" t="inlineStr">
        <is>
          <t>เกินเกณฑ์ หมายถึงต้องยก 2 คนหรือใช้เครื่องช่วย</t>
        </is>
      </c>
    </row>
    <row r="12">
      <c r="A12" s="1" t="inlineStr">
        <is>
          <t>2. การกรอกและการยก</t>
        </is>
      </c>
    </row>
    <row r="13">
      <c r="A13" s="5" t="inlineStr"/>
      <c r="B13" s="5" t="inlineStr">
        <is>
          <t>กระสอบมีปีก (GGS)</t>
        </is>
      </c>
      <c r="C13" s="5" t="inlineStr">
        <is>
          <t>กระสอบบังเกอร์ทหาร</t>
        </is>
      </c>
      <c r="D13" s="5" t="inlineStr">
        <is>
          <t>Flex MSE</t>
        </is>
      </c>
      <c r="E13" s="5" t="inlineStr">
        <is>
          <t>ที่มา / สถานะ</t>
        </is>
      </c>
    </row>
    <row r="14">
      <c r="A14" s="6" t="inlineStr">
        <is>
          <t>ขนาดผ้าก่อนกรอก</t>
        </is>
      </c>
      <c r="B14" s="12" t="inlineStr">
        <is>
          <t>1.50 x 0.75 ม.</t>
        </is>
      </c>
      <c r="C14" s="12" t="inlineStr">
        <is>
          <t>0.75 x 0.35 ม.</t>
        </is>
      </c>
      <c r="D14" s="12" t="inlineStr">
        <is>
          <t>0.89 x 0.38 ม.</t>
        </is>
      </c>
      <c r="E14" s="7" t="inlineStr">
        <is>
          <t>แบบ 690044 CE / หน้าร้าน / datasheet Flex MSE</t>
        </is>
      </c>
    </row>
    <row r="15">
      <c r="A15" s="6" t="inlineStr">
        <is>
          <t>จำนวนคนยกต่อใบ</t>
        </is>
      </c>
      <c r="B15" s="11" t="n">
        <v>2</v>
      </c>
      <c r="C15" s="11" t="n">
        <v>1</v>
      </c>
      <c r="D15" s="11" t="n">
        <v>2</v>
      </c>
      <c r="E15" s="7" t="inlineStr">
        <is>
          <t>ผู้ใช้แจ้งว่ามีปีกต้อง 2 คน / ผู้ผลิต Flex ระบุ 2 คน / บังเกอร์ประมาณ 1 คน</t>
        </is>
      </c>
    </row>
    <row r="16">
      <c r="A16" s="6" t="inlineStr">
        <is>
          <t>ช่องทางที่ทรายลงถุง (ม.)</t>
        </is>
      </c>
      <c r="B16" s="18" t="n">
        <v>0.19</v>
      </c>
      <c r="C16" s="18" t="n">
        <v>0.35</v>
      </c>
      <c r="D16" s="18" t="n">
        <v>0.3</v>
      </c>
      <c r="E16" s="7" t="inlineStr">
        <is>
          <t>มีปีก: คอแคบของปีกบนตามแบบ / บังเกอร์: ปากถุง / Flex: ช่องแม่แบบ</t>
        </is>
      </c>
    </row>
    <row r="17" ht="34" customHeight="1">
      <c r="A17" s="6" t="inlineStr">
        <is>
          <t>ช่องทางทราย เทียบความกว้างที่ต้องเติม</t>
        </is>
      </c>
      <c r="B17" s="16">
        <f>B16/0.75</f>
        <v/>
      </c>
      <c r="C17" s="16">
        <f>C16/0.31</f>
        <v/>
      </c>
      <c r="D17" s="16">
        <f>D16/0.3</f>
        <v/>
      </c>
      <c r="E17" s="7" t="inlineStr">
        <is>
          <t>ช่องหารด้วยความกว้างส่วนที่ต้องเติม (0.75 / 0.31 / 0.30 ม.) ยิ่งต่ำยิ่งต้องดันทรายออกข้าง</t>
        </is>
      </c>
    </row>
    <row r="18" ht="34" customHeight="1">
      <c r="A18" s="6" t="inlineStr">
        <is>
          <t>ลักษณะปาก</t>
        </is>
      </c>
      <c r="B18" s="12" t="inlineStr">
        <is>
          <t>กรวยผ้าอ่อน กว้างบน แคบล่าง ปล่อยมือแล้วหุบ</t>
        </is>
      </c>
      <c r="C18" s="12" t="inlineStr">
        <is>
          <t>ปากกว้าง ตั้งตรงได้</t>
        </is>
      </c>
      <c r="D18" s="12" t="inlineStr">
        <is>
          <t>ปากถุงแขวนในแม่แบบ</t>
        </is>
      </c>
      <c r="E18" s="7" t="inlineStr">
        <is>
          <t>แบบกระสอบมีปีก / ภาพหน้างาน / คลิป Flex MSE</t>
        </is>
      </c>
    </row>
    <row r="19" ht="34" customHeight="1">
      <c r="A19" s="6" t="inlineStr">
        <is>
          <t>ต้องดันหรือขย้ำทรายออกข้างหรือไม่</t>
        </is>
      </c>
      <c r="B19" s="12" t="inlineStr">
        <is>
          <t>ต้อง ซ้ำหลายรอบ</t>
        </is>
      </c>
      <c r="C19" s="12" t="inlineStr">
        <is>
          <t>ไม่ต้อง</t>
        </is>
      </c>
      <c r="D19" s="12" t="inlineStr">
        <is>
          <t>ไม่ต้อง (กวาดเข้าช่อง)</t>
        </is>
      </c>
      <c r="E19" s="7" t="inlineStr">
        <is>
          <t>คำบอกเล่าของผู้ใช้ + รูปทรงตามแบบ (ยังไม่ได้จับเวลา)</t>
        </is>
      </c>
    </row>
    <row r="20" ht="34" customHeight="1">
      <c r="A20" s="6" t="inlineStr">
        <is>
          <t>ขนาดหลังกรอกสม่ำเสมอหรือไม่</t>
        </is>
      </c>
      <c r="B20" s="12" t="inlineStr">
        <is>
          <t>ไม่แน่นอน ขึ้นกับการดันทราย</t>
        </is>
      </c>
      <c r="C20" s="12" t="inlineStr">
        <is>
          <t>สม่ำเสมอ</t>
        </is>
      </c>
      <c r="D20" s="12" t="inlineStr">
        <is>
          <t>สม่ำเสมอ (ขั้นต่ำ 32 ลิตร)</t>
        </is>
      </c>
      <c r="E20" s="7" t="inlineStr">
        <is>
          <t>คำบอกเล่าของผู้ใช้ / คลิป Flex MSE</t>
        </is>
      </c>
    </row>
    <row r="22">
      <c r="A22" s="1" t="inlineStr">
        <is>
          <t>3. ภาระงานต่อไซต์ (ทรายเท่ากับกระสอบมีปีก 1,000 ใบ)</t>
        </is>
      </c>
    </row>
    <row r="23">
      <c r="A23" s="5" t="inlineStr"/>
      <c r="B23" s="5" t="inlineStr">
        <is>
          <t>กระสอบมีปีก (GGS)</t>
        </is>
      </c>
      <c r="C23" s="5" t="inlineStr">
        <is>
          <t>กระสอบบังเกอร์ทหาร</t>
        </is>
      </c>
      <c r="D23" s="5" t="inlineStr">
        <is>
          <t>Flex MSE</t>
        </is>
      </c>
      <c r="E23" s="5" t="inlineStr">
        <is>
          <t>ที่มา / สถานะ</t>
        </is>
      </c>
    </row>
    <row r="24">
      <c r="A24" s="6" t="inlineStr">
        <is>
          <t>ปริมาตรทรายรวม (ลบ.ม.)</t>
        </is>
      </c>
      <c r="B24" s="13">
        <f>1000*'เปรียบเทียบ'!$B$16/1000</f>
        <v/>
      </c>
      <c r="C24" s="13">
        <f>1000*'เปรียบเทียบ'!$B$16/1000</f>
        <v/>
      </c>
      <c r="D24" s="13">
        <f>1000*'เปรียบเทียบ'!$B$16/1000</f>
        <v/>
      </c>
      <c r="E24" s="7" t="inlineStr">
        <is>
          <t>1,000 ใบ x ทรายต่อใบของกระสอบมีปีก (ไฟล์คำนวณทราย)</t>
        </is>
      </c>
    </row>
    <row r="25">
      <c r="A25" s="6" t="inlineStr">
        <is>
          <t>จำนวนกระสอบที่ต้องกรอก (ใบ)</t>
        </is>
      </c>
      <c r="B25" s="22">
        <f>B24*1000/AVERAGE('เปรียบเทียบ'!B16:'เปรียบเทียบ'!B17)</f>
        <v/>
      </c>
      <c r="C25" s="22">
        <f>C24*1000/AVERAGE('เปรียบเทียบ'!C16:'เปรียบเทียบ'!C17)</f>
        <v/>
      </c>
      <c r="D25" s="22">
        <f>D24*1000/AVERAGE('เปรียบเทียบ'!D16:'เปรียบเทียบ'!D17)</f>
        <v/>
      </c>
      <c r="E25" s="7" t="inlineStr">
        <is>
          <t>หารด้วยทรายต่อใบเฉลี่ยของแต่ละแบบ</t>
        </is>
      </c>
    </row>
    <row r="26">
      <c r="A26" s="6" t="inlineStr">
        <is>
          <t>น้ำหนักทรายรวมที่ต้องขน (ตัน)</t>
        </is>
      </c>
      <c r="B26" s="13">
        <f>B25*B6/1000</f>
        <v/>
      </c>
      <c r="C26" s="13">
        <f>C25*C6/1000</f>
        <v/>
      </c>
      <c r="D26" s="13">
        <f>D25*D6/1000</f>
        <v/>
      </c>
      <c r="E26" s="7" t="inlineStr">
        <is>
          <t>ทรายมวลเท่ากัน เพียงแบ่งเป็นจำนวนใบต่างกัน</t>
        </is>
      </c>
    </row>
    <row r="27">
      <c r="A27" s="6" t="inlineStr">
        <is>
          <t>จำนวนครั้งที่คนยก (ครั้ง)</t>
        </is>
      </c>
      <c r="B27" s="22">
        <f>B25*B15</f>
        <v/>
      </c>
      <c r="C27" s="22">
        <f>C25*C15</f>
        <v/>
      </c>
      <c r="D27" s="22">
        <f>D25*D15</f>
        <v/>
      </c>
      <c r="E27" s="7" t="inlineStr">
        <is>
          <t>จำนวนใบ x จำนวนคนต่อใบ</t>
        </is>
      </c>
    </row>
    <row r="28">
      <c r="A28" s="6" t="inlineStr">
        <is>
          <t>น้ำหนักที่แต่ละคนยกต่อครั้ง (กก.)</t>
        </is>
      </c>
      <c r="B28" s="13">
        <f>B7</f>
        <v/>
      </c>
      <c r="C28" s="13">
        <f>C7</f>
        <v/>
      </c>
      <c r="D28" s="13">
        <f>D7</f>
        <v/>
      </c>
      <c r="E28" s="7" t="inlineStr">
        <is>
          <t>เบากว่าต่อครั้งแต่จำนวนครั้งเพิ่มขึ้น ต้องชั่งน้ำหนักข้อดีข้อเสียนี้</t>
        </is>
      </c>
    </row>
    <row r="30">
      <c r="A30" s="1" t="inlineStr">
        <is>
          <t>4. การขนด้วยรถเข็น</t>
        </is>
      </c>
    </row>
    <row r="31">
      <c r="A31" s="5" t="inlineStr"/>
      <c r="B31" s="5" t="inlineStr">
        <is>
          <t>กระสอบมีปีก (GGS)</t>
        </is>
      </c>
      <c r="C31" s="5" t="inlineStr">
        <is>
          <t>กระสอบบังเกอร์ทหาร</t>
        </is>
      </c>
      <c r="D31" s="5" t="inlineStr">
        <is>
          <t>Flex MSE</t>
        </is>
      </c>
      <c r="E31" s="5" t="inlineStr">
        <is>
          <t>ที่มา / สถานะ</t>
        </is>
      </c>
    </row>
    <row r="32" ht="34" customHeight="1">
      <c r="A32" s="6" t="inlineStr">
        <is>
          <t>จำนวนใบที่รถเข็นรับได้ต่อเที่ยว (ใบ)</t>
        </is>
      </c>
      <c r="B32" s="11" t="n">
        <v>2</v>
      </c>
      <c r="C32" s="11" t="n">
        <v>7</v>
      </c>
      <c r="D32" s="11" t="n">
        <v>4</v>
      </c>
      <c r="E32" s="7" t="inlineStr">
        <is>
          <t>มีปีก 2 ใบ: คนงานแจ้ง / บังเกอร์ 7 และ Flex 4: ใช้ในอนิเมชั่นเทียบ ยังไม่ได้ทดลองจริง</t>
        </is>
      </c>
    </row>
    <row r="33">
      <c r="A33" s="6" t="inlineStr">
        <is>
          <t>น้ำหนักทรายต่อเที่ยว (กก.)</t>
        </is>
      </c>
      <c r="B33" s="23">
        <f>B32*B6</f>
        <v/>
      </c>
      <c r="C33" s="23">
        <f>C32*C6</f>
        <v/>
      </c>
      <c r="D33" s="23">
        <f>D32*D6</f>
        <v/>
      </c>
      <c r="E33" s="7" t="inlineStr">
        <is>
          <t>จำนวนใบ x น้ำหนักต่อใบ (ไม่รวมตัวรถเข็นและถุง)</t>
        </is>
      </c>
    </row>
    <row r="34" ht="34" customHeight="1">
      <c r="A34" s="6" t="inlineStr">
        <is>
          <t>ความสูงกองบนรถเข็น (ม.)</t>
        </is>
      </c>
      <c r="B34" s="15">
        <f>B32*0.2</f>
        <v/>
      </c>
      <c r="C34" s="15">
        <f>ROUNDUP(C32/2,0)*0.13</f>
        <v/>
      </c>
      <c r="D34" s="15">
        <f>ROUNDUP(D32/2,0)*0.14</f>
        <v/>
      </c>
      <c r="E34" s="7" t="inlineStr">
        <is>
          <t>ประมาณจากความหนาหลังกรอก มีปีกซ้อน 2 ชั้น / บังเกอร์และ Flex เรียง 2 ใบต่อชั้น</t>
        </is>
      </c>
    </row>
    <row r="36">
      <c r="A36" s="1" t="inlineStr">
        <is>
          <t>5. ข้อเสนอเกณฑ์ออกแบบกระสอบรูปแบบใหม่ (เบื้องต้น)</t>
        </is>
      </c>
    </row>
    <row r="37">
      <c r="A37" s="5" t="inlineStr">
        <is>
          <t>หัวข้อ</t>
        </is>
      </c>
      <c r="B37" s="5" t="inlineStr">
        <is>
          <t>ค่าเสนอ</t>
        </is>
      </c>
      <c r="C37" s="5" t="inlineStr">
        <is>
          <t>เหตุผลจากข้อมูลข้างบน</t>
        </is>
      </c>
      <c r="D37" s="5" t="inlineStr"/>
      <c r="E37" s="5" t="inlineStr">
        <is>
          <t>สถานะ</t>
        </is>
      </c>
    </row>
    <row r="38" ht="34" customHeight="1">
      <c r="A38" s="6" t="inlineStr">
        <is>
          <t>น้ำหนักกรอกเต็มต่อใบ (กก.)</t>
        </is>
      </c>
      <c r="B38" s="14" t="n">
        <v>25</v>
      </c>
      <c r="C38" s="7" t="inlineStr">
        <is>
          <t>ให้คนเดียวยกได้ ใกล้เกณฑ์ NIOSH 23 กก. กระสอบมีปีกปัจจุบัน ~79 กก. เกินราว 3.4 เท่า</t>
        </is>
      </c>
      <c r="D38" s="24" t="n"/>
      <c r="E38" s="7" t="inlineStr">
        <is>
          <t>ข้อเสนอ ต้องยืนยันหน้างาน</t>
        </is>
      </c>
    </row>
    <row r="39" ht="34" customHeight="1">
      <c r="A39" s="6" t="inlineStr">
        <is>
          <t>ทรายต่อใบที่สอดคล้อง (ลิตร)</t>
        </is>
      </c>
      <c r="B39" s="13">
        <f>B38/'เปรียบเทียบ'!B4*1000</f>
        <v/>
      </c>
      <c r="C39" s="7" t="inlineStr">
        <is>
          <t>น้ำหนักเสนอหารด้วยความหนาแน่นสูงสุด (ช่อง B4 แผ่นแรก)</t>
        </is>
      </c>
      <c r="D39" s="24" t="n"/>
      <c r="E39" s="7" t="inlineStr">
        <is>
          <t>คำนวณ</t>
        </is>
      </c>
    </row>
    <row r="40" ht="34" customHeight="1">
      <c r="A40" s="6" t="inlineStr">
        <is>
          <t>ความกว้างปากหรือช่องกรอก (ม.)</t>
        </is>
      </c>
      <c r="B40" s="18" t="n">
        <v>0.35</v>
      </c>
      <c r="C40" s="7" t="inlineStr">
        <is>
          <t>เท่ากระสอบบังเกอร์ที่กางค้างได้เอง ปัจจุบันคอของกระสอบมีปีกแคบ 0.19 ม.</t>
        </is>
      </c>
      <c r="D40" s="24" t="n"/>
      <c r="E40" s="7" t="inlineStr">
        <is>
          <t>ข้อเสนอ ต้องทดลองกรอกจริง</t>
        </is>
      </c>
    </row>
    <row r="41" ht="34" customHeight="1">
      <c r="A41" s="6" t="inlineStr">
        <is>
          <t>จำนวนคนที่ต้องใช้กรอก</t>
        </is>
      </c>
      <c r="B41" s="12" t="inlineStr">
        <is>
          <t>1–2 คน</t>
        </is>
      </c>
      <c r="C41" s="7" t="inlineStr">
        <is>
          <t>ลดจาก 2 คนตลอด เพราะปากไม่ต้องมีคนจับค้างไว้</t>
        </is>
      </c>
      <c r="D41" s="24" t="n"/>
      <c r="E41" s="7" t="inlineStr">
        <is>
          <t>ข้อเสนอ</t>
        </is>
      </c>
    </row>
    <row r="42" ht="34" customHeight="1">
      <c r="A42" s="6" t="inlineStr">
        <is>
          <t>ปีกข้างและปีกบน</t>
        </is>
      </c>
      <c r="B42" s="12" t="inlineStr">
        <is>
          <t>คงไว้ตามหน้าที่ยึดชั้นและกันดินหลุด</t>
        </is>
      </c>
      <c r="C42" s="7" t="inlineStr">
        <is>
          <t>ปีกให้กระสอบชั้นบนทับชั้นล่าง ตัวถุงเล็กลงได้โดยเรียงชั้นถี่ขึ้น</t>
        </is>
      </c>
      <c r="D42" s="24" t="n"/>
      <c r="E42" s="7" t="inlineStr">
        <is>
          <t>ต้องตรวจกับวิศวกรผู้ออกแบบ</t>
        </is>
      </c>
    </row>
    <row r="44">
      <c r="A44" s="1" t="inlineStr">
        <is>
          <t>6. ข้อมูลหน้างานที่ควรเก็บเพิ่มให้ข้อเสนอหนักแน่น (ตัวเลขข้างบนยังเป็นค่าคำนวณ)</t>
        </is>
      </c>
    </row>
    <row r="45">
      <c r="A45" s="4" t="inlineStr">
        <is>
          <t>1. ชั่งกระสอบมีปีกที่กรอกจริง 5–10 ใบ (กก.) เทียบกับ ~79 กก. ที่คำนวณ</t>
        </is>
      </c>
    </row>
    <row r="46">
      <c r="A46" s="4" t="inlineStr">
        <is>
          <t>2. จับเวลากรอก 1 ใบ (นาที) และจดจำนวนคนที่ใช้ เทียบกับกระสอบบังเกอร์ถ้ามี</t>
        </is>
      </c>
    </row>
    <row r="47">
      <c r="A47" s="4" t="inlineStr">
        <is>
          <t>3. วัดขนาดหลังกรอก ยาว x กว้าง x หนา ของกระสอบมีปีก 5 ใบ</t>
        </is>
      </c>
    </row>
    <row r="48">
      <c r="A48" s="4" t="inlineStr">
        <is>
          <t>4. นับจำนวนใบต่อวัน จำนวนเที่ยวรถเข็น และบันทึกปัญหา (รถเข็นล้ม ทรายหก คนปวดหลัง)</t>
        </is>
      </c>
    </row>
    <row r="49">
      <c r="A49" s="4" t="inlineStr">
        <is>
          <t>5. ถ่ายวิดีโอการกรอกและขนเป็นหลักฐานประกอบข้อเสนอ</t>
        </is>
      </c>
    </row>
    <row r="51">
      <c r="A51" s="4" t="inlineStr">
        <is>
          <t>แหล่งอ้างอิงเกณฑ์ยก: NIOSH load constant 23 กก. (CCOHS, ccohs.gc.ca/oshanswers/ergonomics/niosh) และ ILO R128 ผู้ชายผู้ใหญ่ไม่เกิน 55 กก. (training.itcilo.org/actrav_cdrom2/en/osh/legis/r128.htm) เกณฑ์ตามกฎหมายแรงงานไทยยังไม่ได้ตรวจ</t>
        </is>
      </c>
    </row>
  </sheetData>
  <mergeCells count="5">
    <mergeCell ref="C38:D38"/>
    <mergeCell ref="C41:D41"/>
    <mergeCell ref="C42:D42"/>
    <mergeCell ref="C40:D40"/>
    <mergeCell ref="C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2026-10-25T06:09:18Z</dcterms:created>
  <dcterms:modified xmlns:dcterms="http://purl.org/dc/terms/" xmlns:xsi="http://www.w3.org/2001/XMLSchema-instance" xsi:type="dcterms:W3CDTF">2026-10-25T06:09:18Z</dcterms:modified>
</cp:coreProperties>
</file>